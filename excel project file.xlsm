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santh\Desktop\coaching\PROJECTS\"/>
    </mc:Choice>
  </mc:AlternateContent>
  <xr:revisionPtr revIDLastSave="0" documentId="13_ncr:1_{B8263A03-2A88-4160-B6F0-2AE54C10B121}" xr6:coauthVersionLast="47" xr6:coauthVersionMax="47" xr10:uidLastSave="{00000000-0000-0000-0000-000000000000}"/>
  <bookViews>
    <workbookView xWindow="-108" yWindow="-108" windowWidth="23256" windowHeight="12456" activeTab="1" xr2:uid="{C0DB96E7-A8CF-4C20-80D1-24B26C94D373}"/>
  </bookViews>
  <sheets>
    <sheet name="Attendance" sheetId="1" r:id="rId1"/>
    <sheet name="Dashboard" sheetId="2" r:id="rId2"/>
    <sheet name="Summary" sheetId="3" r:id="rId3"/>
  </sheets>
  <definedNames>
    <definedName name="_xlpm.d" hidden="1" xlm="1">#NAME?</definedName>
    <definedName name="_xlpm.h" hidden="1" xlm="1">#NAME?</definedName>
    <definedName name="_xlpm.hHours" hidden="1" xlm="1">#NAME?</definedName>
    <definedName name="_xlpm.mask" hidden="1" xlm="1">#NAME?</definedName>
    <definedName name="_xlpm.todayHou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" i="3"/>
  <c r="F5" i="2"/>
  <c r="B3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" i="3"/>
  <c r="B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C14" i="2"/>
  <c r="C16" i="2"/>
  <c r="C15" i="2"/>
  <c r="E7" i="3" l="1"/>
  <c r="E19" i="3"/>
  <c r="E2" i="3"/>
  <c r="E12" i="3"/>
  <c r="E10" i="3"/>
  <c r="E4" i="3"/>
  <c r="E15" i="3"/>
  <c r="E11" i="3"/>
  <c r="E13" i="3"/>
  <c r="E20" i="3"/>
  <c r="E8" i="3"/>
  <c r="E21" i="3"/>
  <c r="E9" i="3"/>
  <c r="E3" i="3"/>
  <c r="E6" i="3"/>
  <c r="E5" i="3"/>
  <c r="E18" i="3"/>
  <c r="E14" i="3"/>
  <c r="E17" i="3"/>
  <c r="E16" i="3"/>
</calcChain>
</file>

<file path=xl/sharedStrings.xml><?xml version="1.0" encoding="utf-8"?>
<sst xmlns="http://schemas.openxmlformats.org/spreadsheetml/2006/main" count="73" uniqueCount="44">
  <si>
    <t>Name</t>
  </si>
  <si>
    <t>Status</t>
  </si>
  <si>
    <t>Emp_ID</t>
  </si>
  <si>
    <t>Role</t>
  </si>
  <si>
    <t xml:space="preserve">Date </t>
  </si>
  <si>
    <t>In Time</t>
  </si>
  <si>
    <t>Out Time</t>
  </si>
  <si>
    <t>Login Hours</t>
  </si>
  <si>
    <t>Aryan</t>
  </si>
  <si>
    <t>Ravi</t>
  </si>
  <si>
    <t>Priya</t>
  </si>
  <si>
    <t>Suresh</t>
  </si>
  <si>
    <t>Neha</t>
  </si>
  <si>
    <t>Karthik</t>
  </si>
  <si>
    <t>Present</t>
  </si>
  <si>
    <t xml:space="preserve">Late </t>
  </si>
  <si>
    <t>Absent</t>
  </si>
  <si>
    <t>Employee Name</t>
  </si>
  <si>
    <t>Divya</t>
  </si>
  <si>
    <t>Manoj</t>
  </si>
  <si>
    <t>Shruthi</t>
  </si>
  <si>
    <t>Arun</t>
  </si>
  <si>
    <t>Meena</t>
  </si>
  <si>
    <t>Rahul</t>
  </si>
  <si>
    <t>Sneha</t>
  </si>
  <si>
    <t>Vignesh</t>
  </si>
  <si>
    <t>Deepika</t>
  </si>
  <si>
    <t>Naveen</t>
  </si>
  <si>
    <t>Lavanya</t>
  </si>
  <si>
    <t>Gopal</t>
  </si>
  <si>
    <t>Swetha</t>
  </si>
  <si>
    <t>Ajay</t>
  </si>
  <si>
    <t>Total Present</t>
  </si>
  <si>
    <t>Total Late</t>
  </si>
  <si>
    <t>Total Absent</t>
  </si>
  <si>
    <t>Attendance%</t>
  </si>
  <si>
    <t>Emp Name</t>
  </si>
  <si>
    <t>Late</t>
  </si>
  <si>
    <t>Total Login Hours</t>
  </si>
  <si>
    <t>L</t>
  </si>
  <si>
    <t>E001</t>
  </si>
  <si>
    <t>Manager</t>
  </si>
  <si>
    <t>E020</t>
  </si>
  <si>
    <t>Developer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</si>
</sst>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8" fontId="0" fillId="0" borderId="0" xfId="0" applyNumberFormat="1"/>
    <xf numFmtId="18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20" fontId="2" fillId="0" borderId="0" xfId="0" applyNumberFormat="1" applyFont="1"/>
    <xf numFmtId="0" fontId="0" fillId="0" borderId="0" xfId="0" applyAlignment="1">
      <alignment wrapText="1"/>
    </xf>
    <xf numFmtId="20" fontId="0" fillId="0" borderId="0" xfId="0" applyNumberFormat="1"/>
    <xf numFmtId="20" fontId="0" fillId="0" borderId="0" xfId="0" applyNumberFormat="1" applyAlignment="1">
      <alignment horizontal="center"/>
    </xf>
    <xf numFmtId="21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Present</a:t>
            </a:r>
            <a:r>
              <a:rPr lang="en-IN" baseline="0"/>
              <a:t> vs absent vs late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607-4CE2-A7CF-D08F4A32D62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607-4CE2-A7CF-D08F4A32D62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607-4CE2-A7CF-D08F4A32D62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Dashboard!$B$14:$B$16</c:f>
              <c:strCache>
                <c:ptCount val="3"/>
                <c:pt idx="0">
                  <c:v>Present</c:v>
                </c:pt>
                <c:pt idx="1">
                  <c:v>Late </c:v>
                </c:pt>
                <c:pt idx="2">
                  <c:v>Absent</c:v>
                </c:pt>
              </c:strCache>
            </c:strRef>
          </c:cat>
          <c:val>
            <c:numRef>
              <c:f>Dashboard!$C$14:$C$16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7F-4398-A6CE-5BE37F3259F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Summary!$I$1</c:f>
              <c:strCache>
                <c:ptCount val="1"/>
                <c:pt idx="0">
                  <c:v>Total Login Hours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Summary!$H$2:$H$21</c:f>
              <c:strCache>
                <c:ptCount val="20"/>
                <c:pt idx="0">
                  <c:v>Aryan</c:v>
                </c:pt>
                <c:pt idx="1">
                  <c:v>Ravi</c:v>
                </c:pt>
                <c:pt idx="2">
                  <c:v>Priya</c:v>
                </c:pt>
                <c:pt idx="3">
                  <c:v>Suresh</c:v>
                </c:pt>
                <c:pt idx="4">
                  <c:v>Neha</c:v>
                </c:pt>
                <c:pt idx="5">
                  <c:v>Karthik</c:v>
                </c:pt>
                <c:pt idx="6">
                  <c:v>Divya</c:v>
                </c:pt>
                <c:pt idx="7">
                  <c:v>Manoj</c:v>
                </c:pt>
                <c:pt idx="8">
                  <c:v>Shruthi</c:v>
                </c:pt>
                <c:pt idx="9">
                  <c:v>Arun</c:v>
                </c:pt>
                <c:pt idx="10">
                  <c:v>Meena</c:v>
                </c:pt>
                <c:pt idx="11">
                  <c:v>Rahul</c:v>
                </c:pt>
                <c:pt idx="12">
                  <c:v>Sneha</c:v>
                </c:pt>
                <c:pt idx="13">
                  <c:v>Vignesh</c:v>
                </c:pt>
                <c:pt idx="14">
                  <c:v>Deepika</c:v>
                </c:pt>
                <c:pt idx="15">
                  <c:v>Naveen</c:v>
                </c:pt>
                <c:pt idx="16">
                  <c:v>Lavanya</c:v>
                </c:pt>
                <c:pt idx="17">
                  <c:v>Gopal</c:v>
                </c:pt>
                <c:pt idx="18">
                  <c:v>Swetha</c:v>
                </c:pt>
                <c:pt idx="19">
                  <c:v>Ajay</c:v>
                </c:pt>
              </c:strCache>
            </c:strRef>
          </c:cat>
          <c:val>
            <c:numRef>
              <c:f>Summary!$I$2:$I$21</c:f>
              <c:numCache>
                <c:formatCode>h:mm</c:formatCode>
                <c:ptCount val="20"/>
                <c:pt idx="0">
                  <c:v>0.22847222222222222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2-4744-9305-9C60ADE6BF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91877503"/>
        <c:axId val="1491906303"/>
      </c:barChart>
      <c:catAx>
        <c:axId val="1491877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06303"/>
        <c:crosses val="autoZero"/>
        <c:auto val="1"/>
        <c:lblAlgn val="ctr"/>
        <c:lblOffset val="100"/>
        <c:noMultiLvlLbl val="0"/>
      </c:catAx>
      <c:valAx>
        <c:axId val="149190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877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</xdr:colOff>
          <xdr:row>10</xdr:row>
          <xdr:rowOff>60960</xdr:rowOff>
        </xdr:from>
        <xdr:to>
          <xdr:col>17</xdr:col>
          <xdr:colOff>22860</xdr:colOff>
          <xdr:row>13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Attendance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15</xdr:row>
          <xdr:rowOff>53340</xdr:rowOff>
        </xdr:from>
        <xdr:to>
          <xdr:col>17</xdr:col>
          <xdr:colOff>7620</xdr:colOff>
          <xdr:row>18</xdr:row>
          <xdr:rowOff>22860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7620</xdr:rowOff>
        </xdr:from>
        <xdr:to>
          <xdr:col>16</xdr:col>
          <xdr:colOff>594360</xdr:colOff>
          <xdr:row>8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20</xdr:row>
          <xdr:rowOff>53340</xdr:rowOff>
        </xdr:from>
        <xdr:to>
          <xdr:col>16</xdr:col>
          <xdr:colOff>579120</xdr:colOff>
          <xdr:row>23</xdr:row>
          <xdr:rowOff>45720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1</xdr:row>
          <xdr:rowOff>7620</xdr:rowOff>
        </xdr:from>
        <xdr:to>
          <xdr:col>17</xdr:col>
          <xdr:colOff>45720</xdr:colOff>
          <xdr:row>3</xdr:row>
          <xdr:rowOff>167640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25</xdr:row>
          <xdr:rowOff>7620</xdr:rowOff>
        </xdr:from>
        <xdr:to>
          <xdr:col>17</xdr:col>
          <xdr:colOff>7620</xdr:colOff>
          <xdr:row>27</xdr:row>
          <xdr:rowOff>30480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876300</xdr:colOff>
          <xdr:row>6</xdr:row>
          <xdr:rowOff>0</xdr:rowOff>
        </xdr:from>
        <xdr:to>
          <xdr:col>10</xdr:col>
          <xdr:colOff>327660</xdr:colOff>
          <xdr:row>9</xdr:row>
          <xdr:rowOff>15240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739140</xdr:colOff>
      <xdr:row>0</xdr:row>
      <xdr:rowOff>137160</xdr:rowOff>
    </xdr:from>
    <xdr:to>
      <xdr:col>19</xdr:col>
      <xdr:colOff>60960</xdr:colOff>
      <xdr:row>3</xdr:row>
      <xdr:rowOff>160020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13799BE-1DF3-89E0-31D5-06ED889622BC}"/>
            </a:ext>
          </a:extLst>
        </xdr:cNvPr>
        <xdr:cNvSpPr/>
      </xdr:nvSpPr>
      <xdr:spPr>
        <a:xfrm>
          <a:off x="739140" y="137160"/>
          <a:ext cx="12329160" cy="571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800">
              <a:solidFill>
                <a:sysClr val="windowText" lastClr="000000"/>
              </a:solidFill>
            </a:rPr>
            <a:t>Employees</a:t>
          </a:r>
          <a:r>
            <a:rPr lang="en-IN" sz="2800" baseline="0">
              <a:solidFill>
                <a:sysClr val="windowText" lastClr="000000"/>
              </a:solidFill>
            </a:rPr>
            <a:t> Attendance Dashboard</a:t>
          </a:r>
          <a:endParaRPr lang="en-IN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167640</xdr:colOff>
      <xdr:row>11</xdr:row>
      <xdr:rowOff>64770</xdr:rowOff>
    </xdr:from>
    <xdr:to>
      <xdr:col>4</xdr:col>
      <xdr:colOff>0</xdr:colOff>
      <xdr:row>26</xdr:row>
      <xdr:rowOff>48127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9D13DFC-9FF7-6ACD-2602-8A32E65E8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502920</xdr:colOff>
          <xdr:row>5</xdr:row>
          <xdr:rowOff>91440</xdr:rowOff>
        </xdr:from>
        <xdr:to>
          <xdr:col>20</xdr:col>
          <xdr:colOff>487680</xdr:colOff>
          <xdr:row>8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Attendance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502920</xdr:colOff>
          <xdr:row>9</xdr:row>
          <xdr:rowOff>129540</xdr:rowOff>
        </xdr:from>
        <xdr:to>
          <xdr:col>20</xdr:col>
          <xdr:colOff>502920</xdr:colOff>
          <xdr:row>12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502920</xdr:colOff>
          <xdr:row>14</xdr:row>
          <xdr:rowOff>30480</xdr:rowOff>
        </xdr:from>
        <xdr:to>
          <xdr:col>20</xdr:col>
          <xdr:colOff>510540</xdr:colOff>
          <xdr:row>17</xdr:row>
          <xdr:rowOff>45720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502920</xdr:colOff>
          <xdr:row>19</xdr:row>
          <xdr:rowOff>45720</xdr:rowOff>
        </xdr:from>
        <xdr:to>
          <xdr:col>20</xdr:col>
          <xdr:colOff>510540</xdr:colOff>
          <xdr:row>22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as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175260</xdr:colOff>
      <xdr:row>11</xdr:row>
      <xdr:rowOff>68580</xdr:rowOff>
    </xdr:from>
    <xdr:to>
      <xdr:col>11</xdr:col>
      <xdr:colOff>480060</xdr:colOff>
      <xdr:row>26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CE294C-1DE5-4D4B-8EBE-4353A4A27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236220</xdr:colOff>
      <xdr:row>5</xdr:row>
      <xdr:rowOff>15240</xdr:rowOff>
    </xdr:from>
    <xdr:to>
      <xdr:col>2</xdr:col>
      <xdr:colOff>76200</xdr:colOff>
      <xdr:row>10</xdr:row>
      <xdr:rowOff>0</xdr:rowOff>
    </xdr:to>
    <xdr:sp macro="" textlink="">
      <xdr:nvSpPr>
        <xdr:cNvPr id="2" name="RectTotalEmployees">
          <a:extLst>
            <a:ext uri="{FF2B5EF4-FFF2-40B4-BE49-F238E27FC236}">
              <a16:creationId xmlns:a16="http://schemas.microsoft.com/office/drawing/2014/main" id="{B6E79326-91F1-76C7-F254-370AC790228B}"/>
            </a:ext>
          </a:extLst>
        </xdr:cNvPr>
        <xdr:cNvSpPr/>
      </xdr:nvSpPr>
      <xdr:spPr>
        <a:xfrm>
          <a:off x="236220" y="929640"/>
          <a:ext cx="1767840" cy="8991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Employees: 2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190500</xdr:colOff>
      <xdr:row>9</xdr:row>
      <xdr:rowOff>167640</xdr:rowOff>
    </xdr:to>
    <xdr:sp macro="" textlink="">
      <xdr:nvSpPr>
        <xdr:cNvPr id="3" name="RectPresent">
          <a:extLst>
            <a:ext uri="{FF2B5EF4-FFF2-40B4-BE49-F238E27FC236}">
              <a16:creationId xmlns:a16="http://schemas.microsoft.com/office/drawing/2014/main" id="{C8BE0992-B291-4B67-8B81-D8F71CA7CF97}"/>
            </a:ext>
          </a:extLst>
        </xdr:cNvPr>
        <xdr:cNvSpPr/>
      </xdr:nvSpPr>
      <xdr:spPr>
        <a:xfrm>
          <a:off x="2667000" y="914400"/>
          <a:ext cx="1767840" cy="8991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Present: 2</a:t>
          </a:r>
        </a:p>
      </xdr:txBody>
    </xdr:sp>
    <xdr:clientData/>
  </xdr:twoCellAnchor>
  <xdr:twoCellAnchor>
    <xdr:from>
      <xdr:col>6</xdr:col>
      <xdr:colOff>297180</xdr:colOff>
      <xdr:row>5</xdr:row>
      <xdr:rowOff>7620</xdr:rowOff>
    </xdr:from>
    <xdr:to>
      <xdr:col>9</xdr:col>
      <xdr:colOff>236220</xdr:colOff>
      <xdr:row>9</xdr:row>
      <xdr:rowOff>175260</xdr:rowOff>
    </xdr:to>
    <xdr:sp macro="" textlink="">
      <xdr:nvSpPr>
        <xdr:cNvPr id="5" name="RectAbsent">
          <a:extLst>
            <a:ext uri="{FF2B5EF4-FFF2-40B4-BE49-F238E27FC236}">
              <a16:creationId xmlns:a16="http://schemas.microsoft.com/office/drawing/2014/main" id="{AC06354D-9D86-440D-8381-252680214645}"/>
            </a:ext>
          </a:extLst>
        </xdr:cNvPr>
        <xdr:cNvSpPr/>
      </xdr:nvSpPr>
      <xdr:spPr>
        <a:xfrm>
          <a:off x="5151120" y="922020"/>
          <a:ext cx="1767840" cy="8991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Absent: 0</a:t>
          </a:r>
        </a:p>
      </xdr:txBody>
    </xdr:sp>
    <xdr:clientData/>
  </xdr:twoCellAnchor>
  <xdr:twoCellAnchor>
    <xdr:from>
      <xdr:col>10</xdr:col>
      <xdr:colOff>289560</xdr:colOff>
      <xdr:row>5</xdr:row>
      <xdr:rowOff>15240</xdr:rowOff>
    </xdr:from>
    <xdr:to>
      <xdr:col>13</xdr:col>
      <xdr:colOff>182880</xdr:colOff>
      <xdr:row>10</xdr:row>
      <xdr:rowOff>0</xdr:rowOff>
    </xdr:to>
    <xdr:sp macro="" textlink="">
      <xdr:nvSpPr>
        <xdr:cNvPr id="6" name="RectLate">
          <a:extLst>
            <a:ext uri="{FF2B5EF4-FFF2-40B4-BE49-F238E27FC236}">
              <a16:creationId xmlns:a16="http://schemas.microsoft.com/office/drawing/2014/main" id="{F6078CBE-1F68-4822-BBDF-71108A767B5F}"/>
            </a:ext>
          </a:extLst>
        </xdr:cNvPr>
        <xdr:cNvSpPr/>
      </xdr:nvSpPr>
      <xdr:spPr>
        <a:xfrm>
          <a:off x="7581900" y="929640"/>
          <a:ext cx="1767840" cy="8991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Late: 2</a:t>
          </a:r>
        </a:p>
      </xdr:txBody>
    </xdr:sp>
    <xdr:clientData/>
  </xdr:twoCellAnchor>
  <xdr:twoCellAnchor>
    <xdr:from>
      <xdr:col>14</xdr:col>
      <xdr:colOff>259080</xdr:colOff>
      <xdr:row>5</xdr:row>
      <xdr:rowOff>30480</xdr:rowOff>
    </xdr:from>
    <xdr:to>
      <xdr:col>17</xdr:col>
      <xdr:colOff>15240</xdr:colOff>
      <xdr:row>10</xdr:row>
      <xdr:rowOff>15240</xdr:rowOff>
    </xdr:to>
    <xdr:sp macro="" textlink="">
      <xdr:nvSpPr>
        <xdr:cNvPr id="7" name="RectAvgLogin">
          <a:extLst>
            <a:ext uri="{FF2B5EF4-FFF2-40B4-BE49-F238E27FC236}">
              <a16:creationId xmlns:a16="http://schemas.microsoft.com/office/drawing/2014/main" id="{51BC1211-6325-4667-B36A-DE114FC2F522}"/>
            </a:ext>
          </a:extLst>
        </xdr:cNvPr>
        <xdr:cNvSpPr/>
      </xdr:nvSpPr>
      <xdr:spPr>
        <a:xfrm>
          <a:off x="10035540" y="944880"/>
          <a:ext cx="1767840" cy="8991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Avg Login Hrs: 0.23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563880</xdr:colOff>
          <xdr:row>24</xdr:row>
          <xdr:rowOff>7620</xdr:rowOff>
        </xdr:from>
        <xdr:to>
          <xdr:col>20</xdr:col>
          <xdr:colOff>502920</xdr:colOff>
          <xdr:row>27</xdr:row>
          <xdr:rowOff>22860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62C88-A437-4594-BACA-B4C34A25DC3A}">
  <sheetPr codeName="Sheet1"/>
  <dimension ref="A1:H51"/>
  <sheetViews>
    <sheetView workbookViewId="0">
      <selection activeCell="M1" sqref="M1"/>
    </sheetView>
  </sheetViews>
  <sheetFormatPr defaultRowHeight="14.4" x14ac:dyDescent="0.3"/>
  <cols>
    <col min="1" max="1" width="9.44140625" customWidth="1"/>
    <col min="2" max="3" width="11.33203125" customWidth="1"/>
    <col min="4" max="4" width="14.33203125" customWidth="1"/>
    <col min="5" max="5" width="18.88671875" bestFit="1" customWidth="1"/>
    <col min="6" max="6" width="15.5546875" bestFit="1" customWidth="1"/>
    <col min="7" max="7" width="10.77734375" bestFit="1" customWidth="1"/>
    <col min="8" max="8" width="12.88671875" style="10" customWidth="1"/>
    <col min="9" max="12" width="10.44140625" customWidth="1"/>
  </cols>
  <sheetData>
    <row r="1" spans="1:8" ht="15.6" customHeight="1" x14ac:dyDescent="0.3">
      <c r="A1" t="s">
        <v>2</v>
      </c>
      <c r="B1" t="s">
        <v>0</v>
      </c>
      <c r="C1" t="s">
        <v>3</v>
      </c>
      <c r="D1" t="s">
        <v>4</v>
      </c>
      <c r="E1" t="s">
        <v>5</v>
      </c>
      <c r="F1" t="s">
        <v>1</v>
      </c>
      <c r="G1" t="s">
        <v>6</v>
      </c>
      <c r="H1" t="s">
        <v>7</v>
      </c>
    </row>
    <row r="2" spans="1:8" x14ac:dyDescent="0.3">
      <c r="A2" t="s">
        <v>40</v>
      </c>
      <c r="B2" t="s">
        <v>8</v>
      </c>
      <c r="C2" t="s">
        <v>41</v>
      </c>
      <c r="D2" s="3">
        <v>45988</v>
      </c>
      <c r="E2" s="2">
        <v>0.72986111111111107</v>
      </c>
      <c r="F2" s="4" t="s">
        <v>39</v>
      </c>
      <c r="G2" s="2">
        <v>0.95833333333333337</v>
      </c>
      <c r="H2" s="11">
        <v>0.22847222222222222</v>
      </c>
    </row>
    <row r="3" spans="1:8" x14ac:dyDescent="0.3">
      <c r="A3" t="s">
        <v>42</v>
      </c>
      <c r="B3" t="s">
        <v>31</v>
      </c>
      <c r="C3" t="s">
        <v>43</v>
      </c>
      <c r="D3" s="3">
        <v>45993</v>
      </c>
      <c r="E3" s="2">
        <v>0.54305555555555551</v>
      </c>
      <c r="F3" s="4" t="s">
        <v>39</v>
      </c>
      <c r="G3" s="2"/>
      <c r="H3" s="11"/>
    </row>
    <row r="4" spans="1:8" x14ac:dyDescent="0.3">
      <c r="D4" s="3"/>
      <c r="E4" s="2"/>
      <c r="F4" s="4"/>
      <c r="G4" s="2"/>
      <c r="H4" s="11"/>
    </row>
    <row r="5" spans="1:8" x14ac:dyDescent="0.3">
      <c r="D5" s="3"/>
      <c r="E5" s="2"/>
      <c r="F5" s="4"/>
      <c r="G5" s="2"/>
      <c r="H5" s="11"/>
    </row>
    <row r="6" spans="1:8" x14ac:dyDescent="0.3">
      <c r="D6" s="3"/>
      <c r="E6" s="2"/>
      <c r="F6" s="4"/>
      <c r="G6" s="2"/>
      <c r="H6" s="11"/>
    </row>
    <row r="7" spans="1:8" x14ac:dyDescent="0.3">
      <c r="D7" s="3"/>
      <c r="E7" s="4"/>
      <c r="F7" s="4"/>
      <c r="G7" s="4"/>
      <c r="H7" s="11"/>
    </row>
    <row r="8" spans="1:8" x14ac:dyDescent="0.3">
      <c r="D8" s="3"/>
      <c r="E8" s="1"/>
    </row>
    <row r="9" spans="1:8" x14ac:dyDescent="0.3">
      <c r="D9" s="3"/>
      <c r="E9" s="4"/>
      <c r="F9" s="4"/>
      <c r="G9" s="4"/>
      <c r="H9" s="11"/>
    </row>
    <row r="10" spans="1:8" x14ac:dyDescent="0.3">
      <c r="D10" s="3"/>
      <c r="E10" s="4"/>
      <c r="F10" s="4"/>
      <c r="G10" s="4"/>
      <c r="H10" s="11"/>
    </row>
    <row r="11" spans="1:8" ht="15" customHeight="1" x14ac:dyDescent="0.3">
      <c r="D11" s="3"/>
      <c r="E11" s="1"/>
    </row>
    <row r="12" spans="1:8" x14ac:dyDescent="0.3">
      <c r="D12" s="3"/>
      <c r="E12" s="1"/>
    </row>
    <row r="13" spans="1:8" x14ac:dyDescent="0.3">
      <c r="D13" s="3"/>
      <c r="E13" s="1"/>
    </row>
    <row r="34" spans="8:8" x14ac:dyDescent="0.3">
      <c r="H34"/>
    </row>
    <row r="35" spans="8:8" x14ac:dyDescent="0.3">
      <c r="H35"/>
    </row>
    <row r="36" spans="8:8" x14ac:dyDescent="0.3">
      <c r="H36"/>
    </row>
    <row r="37" spans="8:8" x14ac:dyDescent="0.3">
      <c r="H37"/>
    </row>
    <row r="38" spans="8:8" x14ac:dyDescent="0.3">
      <c r="H38"/>
    </row>
    <row r="39" spans="8:8" x14ac:dyDescent="0.3">
      <c r="H39"/>
    </row>
    <row r="40" spans="8:8" x14ac:dyDescent="0.3">
      <c r="H40"/>
    </row>
    <row r="41" spans="8:8" x14ac:dyDescent="0.3">
      <c r="H41"/>
    </row>
    <row r="42" spans="8:8" x14ac:dyDescent="0.3">
      <c r="H42"/>
    </row>
    <row r="43" spans="8:8" x14ac:dyDescent="0.3">
      <c r="H43"/>
    </row>
    <row r="44" spans="8:8" x14ac:dyDescent="0.3">
      <c r="H44"/>
    </row>
    <row r="45" spans="8:8" x14ac:dyDescent="0.3">
      <c r="H45"/>
    </row>
    <row r="46" spans="8:8" x14ac:dyDescent="0.3">
      <c r="H46"/>
    </row>
    <row r="47" spans="8:8" x14ac:dyDescent="0.3">
      <c r="H47"/>
    </row>
    <row r="48" spans="8:8" x14ac:dyDescent="0.3">
      <c r="H48"/>
    </row>
    <row r="49" spans="8:8" x14ac:dyDescent="0.3">
      <c r="H49"/>
    </row>
    <row r="50" spans="8:8" x14ac:dyDescent="0.3">
      <c r="H50"/>
    </row>
    <row r="51" spans="8:8" x14ac:dyDescent="0.3">
      <c r="H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owAttendanceForm1">
                <anchor moveWithCells="1" sizeWithCells="1">
                  <from>
                    <xdr:col>14</xdr:col>
                    <xdr:colOff>68580</xdr:colOff>
                    <xdr:row>10</xdr:row>
                    <xdr:rowOff>60960</xdr:rowOff>
                  </from>
                  <to>
                    <xdr:col>17</xdr:col>
                    <xdr:colOff>22860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owOutTimeForm">
                <anchor moveWithCells="1" sizeWithCells="1">
                  <from>
                    <xdr:col>14</xdr:col>
                    <xdr:colOff>7620</xdr:colOff>
                    <xdr:row>15</xdr:row>
                    <xdr:rowOff>53340</xdr:rowOff>
                  </from>
                  <to>
                    <xdr:col>17</xdr:col>
                    <xdr:colOff>7620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ResetAttendanceData">
                <anchor moveWithCells="1" sizeWithCells="1">
                  <from>
                    <xdr:col>14</xdr:col>
                    <xdr:colOff>38100</xdr:colOff>
                    <xdr:row>5</xdr:row>
                    <xdr:rowOff>7620</xdr:rowOff>
                  </from>
                  <to>
                    <xdr:col>16</xdr:col>
                    <xdr:colOff>594360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ExportDashboardToPDF">
                <anchor moveWithCells="1" sizeWithCells="1">
                  <from>
                    <xdr:col>13</xdr:col>
                    <xdr:colOff>571500</xdr:colOff>
                    <xdr:row>20</xdr:row>
                    <xdr:rowOff>53340</xdr:rowOff>
                  </from>
                  <to>
                    <xdr:col>16</xdr:col>
                    <xdr:colOff>579120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GenerateSummary">
                <anchor moveWithCells="1" sizeWithCells="1">
                  <from>
                    <xdr:col>14</xdr:col>
                    <xdr:colOff>30480</xdr:colOff>
                    <xdr:row>1</xdr:row>
                    <xdr:rowOff>7620</xdr:rowOff>
                  </from>
                  <to>
                    <xdr:col>17</xdr:col>
                    <xdr:colOff>45720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freshDashboard">
                <anchor moveWithCells="1" sizeWithCells="1">
                  <from>
                    <xdr:col>15</xdr:col>
                    <xdr:colOff>7620</xdr:colOff>
                    <xdr:row>25</xdr:row>
                    <xdr:rowOff>7620</xdr:rowOff>
                  </from>
                  <to>
                    <xdr:col>17</xdr:col>
                    <xdr:colOff>7620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RefreshDashboard">
                <anchor moveWithCells="1" sizeWithCells="1">
                  <from>
                    <xdr:col>7</xdr:col>
                    <xdr:colOff>876300</xdr:colOff>
                    <xdr:row>6</xdr:row>
                    <xdr:rowOff>0</xdr:rowOff>
                  </from>
                  <to>
                    <xdr:col>10</xdr:col>
                    <xdr:colOff>327660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64FD0-57E0-44F1-BB70-A873C334E159}">
  <sheetPr codeName="Sheet2"/>
  <dimension ref="B2:Q24"/>
  <sheetViews>
    <sheetView showGridLines="0" tabSelected="1" zoomScale="95" workbookViewId="0">
      <selection activeCell="V10" sqref="V10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3" width="10.77734375" bestFit="1" customWidth="1"/>
    <col min="4" max="4" width="14.109375" bestFit="1" customWidth="1"/>
    <col min="13" max="13" width="9.5546875" customWidth="1"/>
    <col min="17" max="17" width="11.5546875" customWidth="1"/>
  </cols>
  <sheetData>
    <row r="2" spans="2:17" x14ac:dyDescent="0.3">
      <c r="B2" s="5"/>
    </row>
    <row r="3" spans="2:17" x14ac:dyDescent="0.3">
      <c r="B3" s="5"/>
    </row>
    <row r="4" spans="2:17" x14ac:dyDescent="0.3">
      <c r="B4" s="5"/>
    </row>
    <row r="5" spans="2:17" x14ac:dyDescent="0.3">
      <c r="B5" s="5"/>
      <c r="F5" s="12">
        <f>IFERROR(AVERAGEIF(Attendance!H3:H1001,"&gt;0"),0)</f>
        <v>0</v>
      </c>
    </row>
    <row r="6" spans="2:17" x14ac:dyDescent="0.3">
      <c r="B6" s="8"/>
      <c r="C6" s="10"/>
      <c r="F6" s="9"/>
    </row>
    <row r="12" spans="2:17" x14ac:dyDescent="0.3">
      <c r="M12" t="s">
        <v>36</v>
      </c>
      <c r="N12" s="4" t="s">
        <v>14</v>
      </c>
      <c r="O12" s="4" t="s">
        <v>16</v>
      </c>
      <c r="P12" s="4" t="s">
        <v>37</v>
      </c>
      <c r="Q12" t="s">
        <v>35</v>
      </c>
    </row>
    <row r="14" spans="2:17" x14ac:dyDescent="0.3">
      <c r="B14" s="5" t="s">
        <v>14</v>
      </c>
      <c r="C14" s="5">
        <f>COUNTIF(Attendance!F:F,"P") + COUNTIF(Attendance!F:F,"L")</f>
        <v>2</v>
      </c>
      <c r="M14" t="s">
        <v>8</v>
      </c>
      <c r="N14">
        <v>1</v>
      </c>
      <c r="O14">
        <v>0</v>
      </c>
      <c r="P14">
        <v>1</v>
      </c>
      <c r="Q14" s="6">
        <v>3.3300000000000003E-2</v>
      </c>
    </row>
    <row r="15" spans="2:17" x14ac:dyDescent="0.3">
      <c r="B15" s="5" t="s">
        <v>15</v>
      </c>
      <c r="C15" s="5">
        <f>COUNTIF(Attendance!F:F,"L")</f>
        <v>2</v>
      </c>
      <c r="M15" t="s">
        <v>31</v>
      </c>
      <c r="N15">
        <v>1</v>
      </c>
      <c r="O15">
        <v>0</v>
      </c>
      <c r="P15">
        <v>1</v>
      </c>
      <c r="Q15" s="7">
        <v>3.3300000000000003E-2</v>
      </c>
    </row>
    <row r="16" spans="2:17" x14ac:dyDescent="0.3">
      <c r="B16" s="5" t="s">
        <v>16</v>
      </c>
      <c r="C16" s="5">
        <f>COUNTIF(Attendance!F:F,"A")</f>
        <v>0</v>
      </c>
      <c r="Q16" s="6"/>
    </row>
    <row r="17" spans="17:17" x14ac:dyDescent="0.3">
      <c r="Q17" s="7"/>
    </row>
    <row r="18" spans="17:17" x14ac:dyDescent="0.3">
      <c r="Q18" s="6"/>
    </row>
    <row r="19" spans="17:17" x14ac:dyDescent="0.3">
      <c r="Q19" s="7"/>
    </row>
    <row r="20" spans="17:17" x14ac:dyDescent="0.3">
      <c r="Q20" s="6"/>
    </row>
    <row r="21" spans="17:17" x14ac:dyDescent="0.3">
      <c r="Q21" s="6"/>
    </row>
    <row r="22" spans="17:17" x14ac:dyDescent="0.3">
      <c r="Q22" s="7"/>
    </row>
    <row r="23" spans="17:17" x14ac:dyDescent="0.3">
      <c r="Q23" s="7"/>
    </row>
    <row r="24" spans="17:17" x14ac:dyDescent="0.3">
      <c r="Q24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AttendanceForm1">
                <anchor moveWithCells="1" sizeWithCells="1">
                  <from>
                    <xdr:col>17</xdr:col>
                    <xdr:colOff>502920</xdr:colOff>
                    <xdr:row>5</xdr:row>
                    <xdr:rowOff>91440</xdr:rowOff>
                  </from>
                  <to>
                    <xdr:col>20</xdr:col>
                    <xdr:colOff>487680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owOutTimeForm">
                <anchor moveWithCells="1" sizeWithCells="1">
                  <from>
                    <xdr:col>17</xdr:col>
                    <xdr:colOff>502920</xdr:colOff>
                    <xdr:row>9</xdr:row>
                    <xdr:rowOff>129540</xdr:rowOff>
                  </from>
                  <to>
                    <xdr:col>20</xdr:col>
                    <xdr:colOff>502920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etAttendanceData">
                <anchor moveWithCells="1" sizeWithCells="1">
                  <from>
                    <xdr:col>17</xdr:col>
                    <xdr:colOff>502920</xdr:colOff>
                    <xdr:row>14</xdr:row>
                    <xdr:rowOff>30480</xdr:rowOff>
                  </from>
                  <to>
                    <xdr:col>20</xdr:col>
                    <xdr:colOff>510540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DashboardToPDF">
                <anchor moveWithCells="1" sizeWithCells="1">
                  <from>
                    <xdr:col>17</xdr:col>
                    <xdr:colOff>502920</xdr:colOff>
                    <xdr:row>19</xdr:row>
                    <xdr:rowOff>45720</xdr:rowOff>
                  </from>
                  <to>
                    <xdr:col>20</xdr:col>
                    <xdr:colOff>510540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8" name="Button 69">
              <controlPr defaultSize="0" print="0" autoFill="0" autoPict="0" macro="[0]!RefreshDashboard">
                <anchor moveWithCells="1" sizeWithCells="1">
                  <from>
                    <xdr:col>17</xdr:col>
                    <xdr:colOff>563880</xdr:colOff>
                    <xdr:row>24</xdr:row>
                    <xdr:rowOff>7620</xdr:rowOff>
                  </from>
                  <to>
                    <xdr:col>20</xdr:col>
                    <xdr:colOff>502920</xdr:colOff>
                    <xdr:row>27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1930A-258E-4B6D-A75C-AE1EE06E4A7A}">
  <sheetPr codeName="Sheet3"/>
  <dimension ref="A1:I21"/>
  <sheetViews>
    <sheetView workbookViewId="0">
      <selection activeCell="L22" sqref="L22"/>
    </sheetView>
  </sheetViews>
  <sheetFormatPr defaultRowHeight="14.4" x14ac:dyDescent="0.3"/>
  <cols>
    <col min="1" max="1" width="16.6640625" customWidth="1"/>
    <col min="2" max="2" width="12.33203125" customWidth="1"/>
    <col min="3" max="3" width="9.6640625" customWidth="1"/>
    <col min="4" max="4" width="12.109375" customWidth="1"/>
    <col min="5" max="5" width="12.44140625" customWidth="1"/>
    <col min="8" max="8" width="14.77734375" customWidth="1"/>
    <col min="9" max="9" width="17.6640625" customWidth="1"/>
  </cols>
  <sheetData>
    <row r="1" spans="1:9" x14ac:dyDescent="0.3">
      <c r="A1" t="s">
        <v>17</v>
      </c>
      <c r="B1" t="s">
        <v>32</v>
      </c>
      <c r="C1" t="s">
        <v>33</v>
      </c>
      <c r="D1" t="s">
        <v>34</v>
      </c>
      <c r="E1" t="s">
        <v>35</v>
      </c>
      <c r="H1" t="s">
        <v>17</v>
      </c>
      <c r="I1" s="4" t="s">
        <v>38</v>
      </c>
    </row>
    <row r="2" spans="1:9" x14ac:dyDescent="0.3">
      <c r="A2" t="s">
        <v>8</v>
      </c>
      <c r="B2">
        <f>COUNTIFS(Attendance!B:B, A2, Attendance!F:F, "P") + COUNTIFS(Attendance!B:B, A2, Attendance!F:F, "L")</f>
        <v>1</v>
      </c>
      <c r="C2">
        <f>COUNTIFS(Attendance!B:B, A2, Attendance!F:F, "L")</f>
        <v>1</v>
      </c>
      <c r="D2">
        <f>COUNTIFS(Attendance!B:B, A2, Attendance!F:F, "A")</f>
        <v>0</v>
      </c>
      <c r="E2">
        <f>(B2+C2)/30*100</f>
        <v>6.666666666666667</v>
      </c>
      <c r="H2" t="s">
        <v>8</v>
      </c>
      <c r="I2" s="10">
        <f>SUMIF(Attendance!B:B, A2, Attendance!H:H)</f>
        <v>0.22847222222222222</v>
      </c>
    </row>
    <row r="3" spans="1:9" x14ac:dyDescent="0.3">
      <c r="A3" t="s">
        <v>9</v>
      </c>
      <c r="B3">
        <f>COUNTIFS(Attendance!B:B, A3, Attendance!F:F, "P") + COUNTIFS(Attendance!B:B, A3, Attendance!F:F, "L")</f>
        <v>0</v>
      </c>
      <c r="C3">
        <f>COUNTIFS(Attendance!B:B, A3, Attendance!F:F, "L")</f>
        <v>0</v>
      </c>
      <c r="D3">
        <f>COUNTIFS(Attendance!B:B, A3, Attendance!F:F, "A")</f>
        <v>0</v>
      </c>
      <c r="E3">
        <f t="shared" ref="E3:E21" si="0">(B3+C3)/30*100</f>
        <v>0</v>
      </c>
      <c r="H3" t="s">
        <v>9</v>
      </c>
      <c r="I3" s="10">
        <f>SUMIF(Attendance!B:B, A3, Attendance!H:H)</f>
        <v>0</v>
      </c>
    </row>
    <row r="4" spans="1:9" x14ac:dyDescent="0.3">
      <c r="A4" t="s">
        <v>10</v>
      </c>
      <c r="B4">
        <f>COUNTIFS(Attendance!B:B, A4, Attendance!F:F, "P") + COUNTIFS(Attendance!B:B, A4, Attendance!F:F, "L")</f>
        <v>0</v>
      </c>
      <c r="C4">
        <f>COUNTIFS(Attendance!B:B, A4, Attendance!F:F, "L")</f>
        <v>0</v>
      </c>
      <c r="D4">
        <f>COUNTIFS(Attendance!B:B, A4, Attendance!F:F, "A")</f>
        <v>0</v>
      </c>
      <c r="E4">
        <f t="shared" si="0"/>
        <v>0</v>
      </c>
      <c r="H4" t="s">
        <v>10</v>
      </c>
      <c r="I4" s="10">
        <f>SUMIF(Attendance!B:B, A4, Attendance!H:H)</f>
        <v>0</v>
      </c>
    </row>
    <row r="5" spans="1:9" x14ac:dyDescent="0.3">
      <c r="A5" t="s">
        <v>11</v>
      </c>
      <c r="B5">
        <f>COUNTIFS(Attendance!B:B, A5, Attendance!F:F, "P") + COUNTIFS(Attendance!B:B, A5, Attendance!F:F, "L")</f>
        <v>0</v>
      </c>
      <c r="C5">
        <f>COUNTIFS(Attendance!B:B, A5, Attendance!F:F, "L")</f>
        <v>0</v>
      </c>
      <c r="D5">
        <f>COUNTIFS(Attendance!B:B, A5, Attendance!F:F, "A")</f>
        <v>0</v>
      </c>
      <c r="E5">
        <f t="shared" si="0"/>
        <v>0</v>
      </c>
      <c r="H5" t="s">
        <v>11</v>
      </c>
      <c r="I5" s="10">
        <f>SUMIF(Attendance!B:B, A5, Attendance!H:H)</f>
        <v>0</v>
      </c>
    </row>
    <row r="6" spans="1:9" x14ac:dyDescent="0.3">
      <c r="A6" t="s">
        <v>12</v>
      </c>
      <c r="B6">
        <f>COUNTIFS(Attendance!B:B, A6, Attendance!F:F, "P") + COUNTIFS(Attendance!B:B, A6, Attendance!F:F, "L")</f>
        <v>0</v>
      </c>
      <c r="C6">
        <f>COUNTIFS(Attendance!B:B, A6, Attendance!F:F, "L")</f>
        <v>0</v>
      </c>
      <c r="D6">
        <f>COUNTIFS(Attendance!B:B, A6, Attendance!F:F, "A")</f>
        <v>0</v>
      </c>
      <c r="E6">
        <f t="shared" si="0"/>
        <v>0</v>
      </c>
      <c r="H6" t="s">
        <v>12</v>
      </c>
      <c r="I6" s="10">
        <f>SUMIF(Attendance!B:B, A6, Attendance!H:H)</f>
        <v>0</v>
      </c>
    </row>
    <row r="7" spans="1:9" x14ac:dyDescent="0.3">
      <c r="A7" t="s">
        <v>13</v>
      </c>
      <c r="B7">
        <f>COUNTIFS(Attendance!B:B, A7, Attendance!F:F, "P") + COUNTIFS(Attendance!B:B, A7, Attendance!F:F, "L")</f>
        <v>0</v>
      </c>
      <c r="C7">
        <f>COUNTIFS(Attendance!B:B, A7, Attendance!F:F, "L")</f>
        <v>0</v>
      </c>
      <c r="D7">
        <f>COUNTIFS(Attendance!B:B, A7, Attendance!F:F, "A")</f>
        <v>0</v>
      </c>
      <c r="E7">
        <f t="shared" si="0"/>
        <v>0</v>
      </c>
      <c r="H7" t="s">
        <v>13</v>
      </c>
      <c r="I7" s="10">
        <f>SUMIF(Attendance!B:B, A7, Attendance!H:H)</f>
        <v>0</v>
      </c>
    </row>
    <row r="8" spans="1:9" x14ac:dyDescent="0.3">
      <c r="A8" t="s">
        <v>18</v>
      </c>
      <c r="B8">
        <f>COUNTIFS(Attendance!B:B, A8, Attendance!F:F, "P") + COUNTIFS(Attendance!B:B, A8, Attendance!F:F, "L")</f>
        <v>0</v>
      </c>
      <c r="C8">
        <f>COUNTIFS(Attendance!B:B, A8, Attendance!F:F, "L")</f>
        <v>0</v>
      </c>
      <c r="D8">
        <f>COUNTIFS(Attendance!B:B, A8, Attendance!F:F, "A")</f>
        <v>0</v>
      </c>
      <c r="E8">
        <f t="shared" si="0"/>
        <v>0</v>
      </c>
      <c r="H8" t="s">
        <v>18</v>
      </c>
      <c r="I8" s="10">
        <f>SUMIF(Attendance!B:B, A8, Attendance!H:H)</f>
        <v>0</v>
      </c>
    </row>
    <row r="9" spans="1:9" x14ac:dyDescent="0.3">
      <c r="A9" t="s">
        <v>19</v>
      </c>
      <c r="B9">
        <f>COUNTIFS(Attendance!B:B, A9, Attendance!F:F, "P") + COUNTIFS(Attendance!B:B, A9, Attendance!F:F, "L")</f>
        <v>0</v>
      </c>
      <c r="C9">
        <f>COUNTIFS(Attendance!B:B, A9, Attendance!F:F, "L")</f>
        <v>0</v>
      </c>
      <c r="D9">
        <f>COUNTIFS(Attendance!B:B, A9, Attendance!F:F, "A")</f>
        <v>0</v>
      </c>
      <c r="E9">
        <f t="shared" si="0"/>
        <v>0</v>
      </c>
      <c r="H9" t="s">
        <v>19</v>
      </c>
      <c r="I9" s="10">
        <f>SUMIF(Attendance!B:B, A9, Attendance!H:H)</f>
        <v>0</v>
      </c>
    </row>
    <row r="10" spans="1:9" x14ac:dyDescent="0.3">
      <c r="A10" t="s">
        <v>20</v>
      </c>
      <c r="B10">
        <f>COUNTIFS(Attendance!B:B, A10, Attendance!F:F, "P") + COUNTIFS(Attendance!B:B, A10, Attendance!F:F, "L")</f>
        <v>0</v>
      </c>
      <c r="C10">
        <f>COUNTIFS(Attendance!B:B, A10, Attendance!F:F, "L")</f>
        <v>0</v>
      </c>
      <c r="D10">
        <f>COUNTIFS(Attendance!B:B, A10, Attendance!F:F, "A")</f>
        <v>0</v>
      </c>
      <c r="E10">
        <f t="shared" si="0"/>
        <v>0</v>
      </c>
      <c r="H10" t="s">
        <v>20</v>
      </c>
      <c r="I10" s="10">
        <f>SUMIF(Attendance!B:B, A10, Attendance!H:H)</f>
        <v>0</v>
      </c>
    </row>
    <row r="11" spans="1:9" x14ac:dyDescent="0.3">
      <c r="A11" t="s">
        <v>21</v>
      </c>
      <c r="B11">
        <f>COUNTIFS(Attendance!B:B, A11, Attendance!F:F, "P") + COUNTIFS(Attendance!B:B, A11, Attendance!F:F, "L")</f>
        <v>0</v>
      </c>
      <c r="C11">
        <f>COUNTIFS(Attendance!B:B, A11, Attendance!F:F, "L")</f>
        <v>0</v>
      </c>
      <c r="D11">
        <f>COUNTIFS(Attendance!B:B, A11, Attendance!F:F, "A")</f>
        <v>0</v>
      </c>
      <c r="E11">
        <f t="shared" si="0"/>
        <v>0</v>
      </c>
      <c r="H11" t="s">
        <v>21</v>
      </c>
      <c r="I11" s="10">
        <f>SUMIF(Attendance!B:B, A11, Attendance!H:H)</f>
        <v>0</v>
      </c>
    </row>
    <row r="12" spans="1:9" x14ac:dyDescent="0.3">
      <c r="A12" t="s">
        <v>22</v>
      </c>
      <c r="B12">
        <f>COUNTIFS(Attendance!B:B, A12, Attendance!F:F, "P") + COUNTIFS(Attendance!B:B, A12, Attendance!F:F, "L")</f>
        <v>0</v>
      </c>
      <c r="C12">
        <f>COUNTIFS(Attendance!B:B, A12, Attendance!F:F, "L")</f>
        <v>0</v>
      </c>
      <c r="D12">
        <f>COUNTIFS(Attendance!B:B, A12, Attendance!F:F, "A")</f>
        <v>0</v>
      </c>
      <c r="E12">
        <f t="shared" si="0"/>
        <v>0</v>
      </c>
      <c r="H12" t="s">
        <v>22</v>
      </c>
      <c r="I12" s="10">
        <f>SUMIF(Attendance!B:B, A12, Attendance!H:H)</f>
        <v>0</v>
      </c>
    </row>
    <row r="13" spans="1:9" x14ac:dyDescent="0.3">
      <c r="A13" t="s">
        <v>23</v>
      </c>
      <c r="B13">
        <f>COUNTIFS(Attendance!B:B, A13, Attendance!F:F, "P") + COUNTIFS(Attendance!B:B, A13, Attendance!F:F, "L")</f>
        <v>0</v>
      </c>
      <c r="C13">
        <f>COUNTIFS(Attendance!B:B, A13, Attendance!F:F, "L")</f>
        <v>0</v>
      </c>
      <c r="D13">
        <f>COUNTIFS(Attendance!B:B, A13, Attendance!F:F, "A")</f>
        <v>0</v>
      </c>
      <c r="E13">
        <f t="shared" si="0"/>
        <v>0</v>
      </c>
      <c r="H13" t="s">
        <v>23</v>
      </c>
      <c r="I13" s="10">
        <f>SUMIF(Attendance!B:B, A13, Attendance!H:H)</f>
        <v>0</v>
      </c>
    </row>
    <row r="14" spans="1:9" x14ac:dyDescent="0.3">
      <c r="A14" t="s">
        <v>24</v>
      </c>
      <c r="B14">
        <f>COUNTIFS(Attendance!B:B, A14, Attendance!F:F, "P") + COUNTIFS(Attendance!B:B, A14, Attendance!F:F, "L")</f>
        <v>0</v>
      </c>
      <c r="C14">
        <f>COUNTIFS(Attendance!B:B, A14, Attendance!F:F, "L")</f>
        <v>0</v>
      </c>
      <c r="D14">
        <f>COUNTIFS(Attendance!B:B, A14, Attendance!F:F, "A")</f>
        <v>0</v>
      </c>
      <c r="E14">
        <f t="shared" si="0"/>
        <v>0</v>
      </c>
      <c r="H14" t="s">
        <v>24</v>
      </c>
      <c r="I14" s="10">
        <f>SUMIF(Attendance!B:B, A14, Attendance!H:H)</f>
        <v>0</v>
      </c>
    </row>
    <row r="15" spans="1:9" x14ac:dyDescent="0.3">
      <c r="A15" t="s">
        <v>25</v>
      </c>
      <c r="B15">
        <f>COUNTIFS(Attendance!B:B, A15, Attendance!F:F, "P") + COUNTIFS(Attendance!B:B, A15, Attendance!F:F, "L")</f>
        <v>0</v>
      </c>
      <c r="C15">
        <f>COUNTIFS(Attendance!B:B, A15, Attendance!F:F, "L")</f>
        <v>0</v>
      </c>
      <c r="D15">
        <f>COUNTIFS(Attendance!B:B, A15, Attendance!F:F, "A")</f>
        <v>0</v>
      </c>
      <c r="E15">
        <f t="shared" si="0"/>
        <v>0</v>
      </c>
      <c r="H15" t="s">
        <v>25</v>
      </c>
      <c r="I15" s="10">
        <f>SUMIF(Attendance!B:B, A15, Attendance!H:H)</f>
        <v>0</v>
      </c>
    </row>
    <row r="16" spans="1:9" x14ac:dyDescent="0.3">
      <c r="A16" t="s">
        <v>26</v>
      </c>
      <c r="B16">
        <f>COUNTIFS(Attendance!B:B, A16, Attendance!F:F, "P") + COUNTIFS(Attendance!B:B, A16, Attendance!F:F, "L")</f>
        <v>0</v>
      </c>
      <c r="C16">
        <f>COUNTIFS(Attendance!B:B, A16, Attendance!F:F, "L")</f>
        <v>0</v>
      </c>
      <c r="D16">
        <f>COUNTIFS(Attendance!B:B, A16, Attendance!F:F, "A")</f>
        <v>0</v>
      </c>
      <c r="E16">
        <f t="shared" si="0"/>
        <v>0</v>
      </c>
      <c r="H16" t="s">
        <v>26</v>
      </c>
      <c r="I16" s="10">
        <f>SUMIF(Attendance!B:B, A16, Attendance!H:H)</f>
        <v>0</v>
      </c>
    </row>
    <row r="17" spans="1:9" x14ac:dyDescent="0.3">
      <c r="A17" t="s">
        <v>27</v>
      </c>
      <c r="B17">
        <f>COUNTIFS(Attendance!B:B, A17, Attendance!F:F, "P") + COUNTIFS(Attendance!B:B, A17, Attendance!F:F, "L")</f>
        <v>0</v>
      </c>
      <c r="C17">
        <f>COUNTIFS(Attendance!B:B, A17, Attendance!F:F, "L")</f>
        <v>0</v>
      </c>
      <c r="D17">
        <f>COUNTIFS(Attendance!B:B, A17, Attendance!F:F, "A")</f>
        <v>0</v>
      </c>
      <c r="E17">
        <f t="shared" si="0"/>
        <v>0</v>
      </c>
      <c r="H17" t="s">
        <v>27</v>
      </c>
      <c r="I17" s="10">
        <f>SUMIF(Attendance!B:B, A17, Attendance!H:H)</f>
        <v>0</v>
      </c>
    </row>
    <row r="18" spans="1:9" x14ac:dyDescent="0.3">
      <c r="A18" t="s">
        <v>28</v>
      </c>
      <c r="B18">
        <f>COUNTIFS(Attendance!B:B, A18, Attendance!F:F, "P") + COUNTIFS(Attendance!B:B, A18, Attendance!F:F, "L")</f>
        <v>0</v>
      </c>
      <c r="C18">
        <f>COUNTIFS(Attendance!B:B, A18, Attendance!F:F, "L")</f>
        <v>0</v>
      </c>
      <c r="D18">
        <f>COUNTIFS(Attendance!B:B, A18, Attendance!F:F, "A")</f>
        <v>0</v>
      </c>
      <c r="E18">
        <f t="shared" si="0"/>
        <v>0</v>
      </c>
      <c r="H18" t="s">
        <v>28</v>
      </c>
      <c r="I18" s="10">
        <f>SUMIF(Attendance!B:B, A18, Attendance!H:H)</f>
        <v>0</v>
      </c>
    </row>
    <row r="19" spans="1:9" x14ac:dyDescent="0.3">
      <c r="A19" t="s">
        <v>29</v>
      </c>
      <c r="B19">
        <f>COUNTIFS(Attendance!B:B, A19, Attendance!F:F, "P") + COUNTIFS(Attendance!B:B, A19, Attendance!F:F, "L")</f>
        <v>0</v>
      </c>
      <c r="C19">
        <f>COUNTIFS(Attendance!B:B, A19, Attendance!F:F, "L")</f>
        <v>0</v>
      </c>
      <c r="D19">
        <f>COUNTIFS(Attendance!B:B, A19, Attendance!F:F, "A")</f>
        <v>0</v>
      </c>
      <c r="E19">
        <f t="shared" si="0"/>
        <v>0</v>
      </c>
      <c r="H19" t="s">
        <v>29</v>
      </c>
      <c r="I19" s="10">
        <f>SUMIF(Attendance!B:B, A19, Attendance!H:H)</f>
        <v>0</v>
      </c>
    </row>
    <row r="20" spans="1:9" x14ac:dyDescent="0.3">
      <c r="A20" t="s">
        <v>30</v>
      </c>
      <c r="B20">
        <f>COUNTIFS(Attendance!B:B, A20, Attendance!F:F, "P") + COUNTIFS(Attendance!B:B, A20, Attendance!F:F, "L")</f>
        <v>0</v>
      </c>
      <c r="C20">
        <f>COUNTIFS(Attendance!B:B, A20, Attendance!F:F, "L")</f>
        <v>0</v>
      </c>
      <c r="D20">
        <f>COUNTIFS(Attendance!B:B, A20, Attendance!F:F, "A")</f>
        <v>0</v>
      </c>
      <c r="E20">
        <f t="shared" si="0"/>
        <v>0</v>
      </c>
      <c r="H20" t="s">
        <v>30</v>
      </c>
      <c r="I20" s="10">
        <f>SUMIF(Attendance!B:B, A20, Attendance!H:H)</f>
        <v>0</v>
      </c>
    </row>
    <row r="21" spans="1:9" x14ac:dyDescent="0.3">
      <c r="A21" t="s">
        <v>31</v>
      </c>
      <c r="B21">
        <f>COUNTIFS(Attendance!B:B, A21, Attendance!F:F, "P") + COUNTIFS(Attendance!B:B, A21, Attendance!F:F, "L")</f>
        <v>1</v>
      </c>
      <c r="C21">
        <f>COUNTIFS(Attendance!B:B, A21, Attendance!F:F, "L")</f>
        <v>1</v>
      </c>
      <c r="D21">
        <f>COUNTIFS(Attendance!B:B, A21, Attendance!F:F, "A")</f>
        <v>0</v>
      </c>
      <c r="E21">
        <f t="shared" si="0"/>
        <v>6.666666666666667</v>
      </c>
      <c r="H21" t="s">
        <v>31</v>
      </c>
      <c r="I21" s="10">
        <f>SUMIF(Attendance!B:B, A21, Attendance!H:H)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Attendance</vt:lpstr>
      <vt:lpstr>Dashboard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Vasanth G</dc:creator>
  <cp:lastModifiedBy>Vasanth G</cp:lastModifiedBy>
  <cp:lastPrinted>2025-09-30T04:46:27Z</cp:lastPrinted>
  <dcterms:created xsi:type="dcterms:W3CDTF">2025-08-06T07:17:06Z</dcterms:created>
  <dcterms:modified xsi:type="dcterms:W3CDTF">2025-12-02T07:37:52Z</dcterms:modified>
</cp:coreProperties>
</file>